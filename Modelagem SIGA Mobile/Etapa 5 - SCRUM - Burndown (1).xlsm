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/>
  <workbookPr/>
  <mc:AlternateContent xmlns:mc="http://schemas.openxmlformats.org/markup-compatibility/2006">
    <mc:Choice Requires="x15">
      <x15ac:absPath xmlns:x15ac="http://schemas.microsoft.com/office/spreadsheetml/2010/11/ac" url="C:\Users\6106381\Downloads\SIGA Mobile - Julia e Luiz\"/>
    </mc:Choice>
  </mc:AlternateContent>
  <xr:revisionPtr revIDLastSave="0" documentId="13_ncr:1_{C35CF353-7D2F-4B56-B920-34E27469FA5B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PRINT 1" sheetId="1" r:id="rId1"/>
    <sheet name="SPRINT 2" sheetId="6" r:id="rId2"/>
    <sheet name="SPRINT 3" sheetId="7" r:id="rId3"/>
  </sheets>
  <definedNames>
    <definedName name="Restante">OFFSET('SPRINT 1'!$C$15,0,0,1,COUNT('SPRINT 1'!$C$15:$M$15))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5" i="7" l="1"/>
  <c r="D15" i="7"/>
  <c r="D14" i="7"/>
  <c r="E14" i="7" s="1"/>
  <c r="F14" i="7" s="1"/>
  <c r="G14" i="7" s="1"/>
  <c r="H14" i="7" s="1"/>
  <c r="I14" i="7" s="1"/>
  <c r="J14" i="7" s="1"/>
  <c r="K14" i="7" s="1"/>
  <c r="L14" i="7" s="1"/>
  <c r="M14" i="7" s="1"/>
  <c r="D16" i="6"/>
  <c r="E16" i="6" s="1"/>
  <c r="F16" i="6" s="1"/>
  <c r="G16" i="6" s="1"/>
  <c r="H16" i="6" s="1"/>
  <c r="I16" i="6" s="1"/>
  <c r="J16" i="6" s="1"/>
  <c r="K16" i="6" s="1"/>
  <c r="L16" i="6" s="1"/>
  <c r="M16" i="6" s="1"/>
  <c r="D15" i="6"/>
  <c r="E15" i="6" s="1"/>
  <c r="F15" i="6" s="1"/>
  <c r="G15" i="6" s="1"/>
  <c r="H15" i="6" s="1"/>
  <c r="I15" i="6" s="1"/>
  <c r="J15" i="6" s="1"/>
  <c r="K15" i="6" s="1"/>
  <c r="L15" i="6" s="1"/>
  <c r="M15" i="6" s="1"/>
  <c r="F15" i="7" l="1"/>
  <c r="G15" i="7" s="1"/>
  <c r="H15" i="7" s="1"/>
  <c r="I15" i="7" s="1"/>
  <c r="J15" i="7" s="1"/>
  <c r="K15" i="7" s="1"/>
  <c r="L15" i="7" s="1"/>
  <c r="M15" i="7" s="1"/>
  <c r="D13" i="1" l="1"/>
  <c r="E13" i="1" s="1"/>
  <c r="F13" i="1" s="1"/>
  <c r="G13" i="1" s="1"/>
  <c r="H13" i="1" s="1"/>
  <c r="I13" i="1" s="1"/>
  <c r="J13" i="1" s="1"/>
  <c r="K13" i="1" s="1"/>
  <c r="L13" i="1" s="1"/>
  <c r="M13" i="1" s="1"/>
  <c r="D14" i="1" l="1"/>
  <c r="E14" i="1" s="1"/>
  <c r="F14" i="1" s="1"/>
  <c r="G14" i="1" s="1"/>
  <c r="H14" i="1" s="1"/>
  <c r="I14" i="1" s="1"/>
  <c r="J14" i="1" s="1"/>
  <c r="K14" i="1" s="1"/>
  <c r="L14" i="1" s="1"/>
  <c r="M14" i="1" s="1"/>
</calcChain>
</file>

<file path=xl/sharedStrings.xml><?xml version="1.0" encoding="utf-8"?>
<sst xmlns="http://schemas.openxmlformats.org/spreadsheetml/2006/main" count="55" uniqueCount="27">
  <si>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</si>
  <si>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</si>
  <si>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</si>
  <si>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</si>
  <si>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</si>
  <si>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</si>
  <si>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</si>
  <si>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</si>
  <si>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</si>
  <si>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</si>
  <si>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Total de horas</t>
  </si>
  <si>
    <t>Restante</t>
  </si>
  <si>
    <t>Estimado</t>
  </si>
  <si>
    <t>SPRINT 1</t>
  </si>
  <si>
    <t>[Backend- Primeira Tela]  - Cadastro de Usuário</t>
  </si>
  <si>
    <t>[Backend - Primeira Tela]  -  Login de Usuário</t>
  </si>
  <si>
    <t>[Backend - Segunda Tela] - Perfil do Usuario</t>
  </si>
  <si>
    <t>Histórias</t>
  </si>
  <si>
    <t>SPRINT 2</t>
  </si>
  <si>
    <t>[Frontend- Primeira Tela]  - Login de Usuário</t>
  </si>
  <si>
    <t>[Frontend - Segunda Tela]  - Perfil do Usuário</t>
  </si>
  <si>
    <t>SPRINT 3</t>
  </si>
  <si>
    <t>Soma</t>
  </si>
  <si>
    <t>Média</t>
  </si>
  <si>
    <t>Soma Acumulada</t>
  </si>
  <si>
    <t>Contagem</t>
  </si>
  <si>
    <t>[Backend - TerceiraTela] - Menu do Aluno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</si>
</sst>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B0F0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4" fillId="2" borderId="2" xfId="0" applyFont="1" applyFill="1" applyBorder="1" applyAlignment="1">
      <alignment horizontal="center"/>
    </xf>
    <xf numFmtId="0" fontId="2" fillId="3" borderId="0" xfId="0" applyFont="1" applyFill="1" applyAlignment="1">
      <alignment horizontal="left" vertical="center"/>
    </xf>
    <xf numFmtId="0" fontId="2" fillId="3" borderId="0" xfId="0" applyFont="1" applyFill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2" fillId="4" borderId="0" xfId="0" applyFont="1" applyFill="1" applyAlignment="1">
      <alignment horizontal="left" vertical="center"/>
    </xf>
    <xf numFmtId="0" fontId="2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Gráfico</a:t>
            </a:r>
            <a:r>
              <a:rPr lang="pt-BR" baseline="0"/>
              <a:t> Burndown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1'!$B$13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'SPRINT 1'!$C$13:$M$13</c:f>
              <c:numCache>
                <c:formatCode>General</c:formatCode>
                <c:ptCount val="11"/>
                <c:pt idx="0">
                  <c:v>140</c:v>
                </c:pt>
                <c:pt idx="1">
                  <c:v>130</c:v>
                </c:pt>
                <c:pt idx="2">
                  <c:v>121</c:v>
                </c:pt>
                <c:pt idx="3">
                  <c:v>113</c:v>
                </c:pt>
                <c:pt idx="4">
                  <c:v>104</c:v>
                </c:pt>
                <c:pt idx="5">
                  <c:v>89</c:v>
                </c:pt>
                <c:pt idx="6">
                  <c:v>71</c:v>
                </c:pt>
                <c:pt idx="7">
                  <c:v>52</c:v>
                </c:pt>
                <c:pt idx="8">
                  <c:v>35</c:v>
                </c:pt>
                <c:pt idx="9">
                  <c:v>18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E5-41DF-A510-9695C5028F29}"/>
            </c:ext>
          </c:extLst>
        </c:ser>
        <c:ser>
          <c:idx val="1"/>
          <c:order val="1"/>
          <c:tx>
            <c:strRef>
              <c:f>'SPRINT 1'!$B$14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'SPRINT 1'!$C$14:$M$14</c:f>
              <c:numCache>
                <c:formatCode>General</c:formatCode>
                <c:ptCount val="11"/>
                <c:pt idx="0">
                  <c:v>140</c:v>
                </c:pt>
                <c:pt idx="1">
                  <c:v>126</c:v>
                </c:pt>
                <c:pt idx="2">
                  <c:v>112</c:v>
                </c:pt>
                <c:pt idx="3">
                  <c:v>98</c:v>
                </c:pt>
                <c:pt idx="4">
                  <c:v>84</c:v>
                </c:pt>
                <c:pt idx="5">
                  <c:v>70</c:v>
                </c:pt>
                <c:pt idx="6">
                  <c:v>56</c:v>
                </c:pt>
                <c:pt idx="7">
                  <c:v>42</c:v>
                </c:pt>
                <c:pt idx="8">
                  <c:v>28</c:v>
                </c:pt>
                <c:pt idx="9">
                  <c:v>14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E5-41DF-A510-9695C5028F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0240448"/>
        <c:axId val="1940240928"/>
      </c:lineChart>
      <c:catAx>
        <c:axId val="19402404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0240928"/>
        <c:crosses val="autoZero"/>
        <c:auto val="1"/>
        <c:lblAlgn val="ctr"/>
        <c:lblOffset val="100"/>
        <c:noMultiLvlLbl val="0"/>
      </c:catAx>
      <c:valAx>
        <c:axId val="1940240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402404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3864614073499881E-2"/>
          <c:y val="0.16617383512544806"/>
          <c:w val="0.94310717636979313"/>
          <c:h val="0.68205592244517821"/>
        </c:manualLayout>
      </c:layout>
      <c:lineChart>
        <c:grouping val="standard"/>
        <c:varyColors val="0"/>
        <c:ser>
          <c:idx val="0"/>
          <c:order val="0"/>
          <c:tx>
            <c:strRef>
              <c:f>'SPRINT 2'!$B$15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'SPRINT 2'!$C$15:$M$15</c:f>
              <c:numCache>
                <c:formatCode>General</c:formatCode>
                <c:ptCount val="11"/>
                <c:pt idx="0">
                  <c:v>100</c:v>
                </c:pt>
                <c:pt idx="1">
                  <c:v>95</c:v>
                </c:pt>
                <c:pt idx="2">
                  <c:v>90</c:v>
                </c:pt>
                <c:pt idx="3">
                  <c:v>85</c:v>
                </c:pt>
                <c:pt idx="4">
                  <c:v>78</c:v>
                </c:pt>
                <c:pt idx="5">
                  <c:v>68</c:v>
                </c:pt>
                <c:pt idx="6">
                  <c:v>55</c:v>
                </c:pt>
                <c:pt idx="7">
                  <c:v>41</c:v>
                </c:pt>
                <c:pt idx="8">
                  <c:v>26</c:v>
                </c:pt>
                <c:pt idx="9">
                  <c:v>10</c:v>
                </c:pt>
                <c:pt idx="10">
                  <c:v>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FF-4DEE-A7C7-D236D0D91837}"/>
            </c:ext>
          </c:extLst>
        </c:ser>
        <c:ser>
          <c:idx val="1"/>
          <c:order val="1"/>
          <c:tx>
            <c:strRef>
              <c:f>'SPRINT 2'!$B$16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'SPRINT 2'!$C$16:$M$16</c:f>
              <c:numCache>
                <c:formatCode>General</c:formatCode>
                <c:ptCount val="11"/>
                <c:pt idx="0">
                  <c:v>100</c:v>
                </c:pt>
                <c:pt idx="1">
                  <c:v>90</c:v>
                </c:pt>
                <c:pt idx="2">
                  <c:v>80</c:v>
                </c:pt>
                <c:pt idx="3">
                  <c:v>70</c:v>
                </c:pt>
                <c:pt idx="4">
                  <c:v>60</c:v>
                </c:pt>
                <c:pt idx="5">
                  <c:v>50</c:v>
                </c:pt>
                <c:pt idx="6">
                  <c:v>40</c:v>
                </c:pt>
                <c:pt idx="7">
                  <c:v>30</c:v>
                </c:pt>
                <c:pt idx="8">
                  <c:v>20</c:v>
                </c:pt>
                <c:pt idx="9">
                  <c:v>10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7FF-4DEE-A7C7-D236D0D91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2859279"/>
        <c:axId val="1472858319"/>
      </c:lineChart>
      <c:catAx>
        <c:axId val="147285927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72858319"/>
        <c:crosses val="autoZero"/>
        <c:auto val="1"/>
        <c:lblAlgn val="ctr"/>
        <c:lblOffset val="100"/>
        <c:noMultiLvlLbl val="0"/>
      </c:catAx>
      <c:valAx>
        <c:axId val="1472858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859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3'!$B$14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'SPRINT 3'!$C$14:$M$14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66</c:v>
                </c:pt>
                <c:pt idx="3">
                  <c:v>58</c:v>
                </c:pt>
                <c:pt idx="4">
                  <c:v>50</c:v>
                </c:pt>
                <c:pt idx="5">
                  <c:v>42</c:v>
                </c:pt>
                <c:pt idx="6">
                  <c:v>35</c:v>
                </c:pt>
                <c:pt idx="7">
                  <c:v>28</c:v>
                </c:pt>
                <c:pt idx="8">
                  <c:v>22</c:v>
                </c:pt>
                <c:pt idx="9">
                  <c:v>15</c:v>
                </c:pt>
                <c:pt idx="10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37-4100-BC84-61FEBB0B56A5}"/>
            </c:ext>
          </c:extLst>
        </c:ser>
        <c:ser>
          <c:idx val="1"/>
          <c:order val="1"/>
          <c:tx>
            <c:strRef>
              <c:f>'SPRINT 3'!$B$15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'SPRINT 3'!$C$15:$M$15</c:f>
              <c:numCache>
                <c:formatCode>General</c:formatCode>
                <c:ptCount val="11"/>
                <c:pt idx="0">
                  <c:v>80</c:v>
                </c:pt>
                <c:pt idx="1">
                  <c:v>72</c:v>
                </c:pt>
                <c:pt idx="2">
                  <c:v>64</c:v>
                </c:pt>
                <c:pt idx="3">
                  <c:v>56</c:v>
                </c:pt>
                <c:pt idx="4">
                  <c:v>48</c:v>
                </c:pt>
                <c:pt idx="5">
                  <c:v>40</c:v>
                </c:pt>
                <c:pt idx="6">
                  <c:v>32</c:v>
                </c:pt>
                <c:pt idx="7">
                  <c:v>24</c:v>
                </c:pt>
                <c:pt idx="8">
                  <c:v>16</c:v>
                </c:pt>
                <c:pt idx="9">
                  <c:v>8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37-4100-BC84-61FEBB0B5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0367247"/>
        <c:axId val="1760369647"/>
      </c:lineChart>
      <c:catAx>
        <c:axId val="176036724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60369647"/>
        <c:crosses val="autoZero"/>
        <c:auto val="1"/>
        <c:lblAlgn val="ctr"/>
        <c:lblOffset val="100"/>
        <c:noMultiLvlLbl val="0"/>
      </c:catAx>
      <c:valAx>
        <c:axId val="1760369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6036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44824</xdr:colOff>
      <xdr:row>0</xdr:row>
      <xdr:rowOff>150159</xdr:rowOff>
    </xdr:from>
    <xdr:to>
      <xdr:col>3</xdr:col>
      <xdr:colOff>135071</xdr:colOff>
      <xdr:row>1</xdr:row>
      <xdr:rowOff>288294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6C8A7B98-FC02-43B4-900A-00312402D88E}"/>
            </a:ext>
          </a:extLst>
        </xdr:cNvPr>
        <xdr:cNvSpPr txBox="1"/>
      </xdr:nvSpPr>
      <xdr:spPr>
        <a:xfrm>
          <a:off x="44824" y="150159"/>
          <a:ext cx="4536741" cy="53258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2800" b="1">
              <a:solidFill>
                <a:sysClr val="windowText" lastClr="000000"/>
              </a:solidFill>
              <a:latin typeface="Century Gothic" panose="020B0502020202020204" pitchFamily="34" charset="0"/>
            </a:rPr>
            <a:t>Gráfico Burndown</a:t>
          </a:r>
          <a:r>
            <a:rPr lang="pt-BR" sz="2800" b="1" baseline="0">
              <a:solidFill>
                <a:sysClr val="windowText" lastClr="000000"/>
              </a:solidFill>
              <a:latin typeface="Century Gothic" panose="020B0502020202020204" pitchFamily="34" charset="0"/>
            </a:rPr>
            <a:t> Excel</a:t>
          </a:r>
          <a:endParaRPr lang="pt-BR" sz="2800" b="1">
            <a:solidFill>
              <a:sysClr val="windowText" lastClr="000000"/>
            </a:solidFill>
            <a:latin typeface="Century Gothic" panose="020B0502020202020204" pitchFamily="34" charset="0"/>
          </a:endParaRPr>
        </a:p>
      </xdr:txBody>
    </xdr:sp>
    <xdr:clientData/>
  </xdr:twoCellAnchor>
  <xdr:twoCellAnchor>
    <xdr:from>
      <xdr:col>0</xdr:col>
      <xdr:colOff>468320</xdr:colOff>
      <xdr:row>15</xdr:row>
      <xdr:rowOff>114537</xdr:rowOff>
    </xdr:from>
    <xdr:to>
      <xdr:col>12</xdr:col>
      <xdr:colOff>424542</xdr:colOff>
      <xdr:row>41</xdr:row>
      <xdr:rowOff>174172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5EA63D4B-B6B0-A5BB-5B39-13CB19DD95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</xdr:colOff>
      <xdr:row>17</xdr:row>
      <xdr:rowOff>60960</xdr:rowOff>
    </xdr:from>
    <xdr:to>
      <xdr:col>12</xdr:col>
      <xdr:colOff>502920</xdr:colOff>
      <xdr:row>32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A7AC5D0-A317-9086-2F73-8DBE9AE015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129540</xdr:colOff>
      <xdr:row>0</xdr:row>
      <xdr:rowOff>160020</xdr:rowOff>
    </xdr:from>
    <xdr:to>
      <xdr:col>3</xdr:col>
      <xdr:colOff>334423</xdr:colOff>
      <xdr:row>1</xdr:row>
      <xdr:rowOff>290759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A7D97F94-2149-41E5-8594-4571825D2233}"/>
            </a:ext>
          </a:extLst>
        </xdr:cNvPr>
        <xdr:cNvSpPr txBox="1"/>
      </xdr:nvSpPr>
      <xdr:spPr>
        <a:xfrm>
          <a:off x="129540" y="160020"/>
          <a:ext cx="4426363" cy="5269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>
              <a:solidFill>
                <a:sysClr val="windowText" lastClr="000000"/>
              </a:solidFill>
              <a:latin typeface="Century Gothic" panose="020B0502020202020204" pitchFamily="34" charset="0"/>
            </a:rPr>
            <a:t>Gráfico Burndown</a:t>
          </a:r>
          <a:r>
            <a:rPr lang="pt-BR" sz="2800" b="1" baseline="0">
              <a:solidFill>
                <a:sysClr val="windowText" lastClr="000000"/>
              </a:solidFill>
              <a:latin typeface="Century Gothic" panose="020B0502020202020204" pitchFamily="34" charset="0"/>
            </a:rPr>
            <a:t> Excel</a:t>
          </a:r>
          <a:endParaRPr lang="pt-BR" sz="2800" b="1">
            <a:solidFill>
              <a:sysClr val="windowText" lastClr="000000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18</xdr:row>
      <xdr:rowOff>30480</xdr:rowOff>
    </xdr:from>
    <xdr:to>
      <xdr:col>12</xdr:col>
      <xdr:colOff>571500</xdr:colOff>
      <xdr:row>32</xdr:row>
      <xdr:rowOff>125730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AE129E78-6D8B-2B0C-053D-FC32F30263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342900</xdr:colOff>
      <xdr:row>0</xdr:row>
      <xdr:rowOff>129540</xdr:rowOff>
    </xdr:from>
    <xdr:to>
      <xdr:col>3</xdr:col>
      <xdr:colOff>547783</xdr:colOff>
      <xdr:row>1</xdr:row>
      <xdr:rowOff>260279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A268C47-3E8D-4754-9168-66770858CA2A}"/>
            </a:ext>
          </a:extLst>
        </xdr:cNvPr>
        <xdr:cNvSpPr txBox="1"/>
      </xdr:nvSpPr>
      <xdr:spPr>
        <a:xfrm>
          <a:off x="342900" y="129540"/>
          <a:ext cx="4426363" cy="52697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2800" b="1">
              <a:solidFill>
                <a:sysClr val="windowText" lastClr="000000"/>
              </a:solidFill>
              <a:latin typeface="Century Gothic" panose="020B0502020202020204" pitchFamily="34" charset="0"/>
            </a:rPr>
            <a:t>Gráfico Burndown</a:t>
          </a:r>
          <a:r>
            <a:rPr lang="pt-BR" sz="2800" b="1" baseline="0">
              <a:solidFill>
                <a:sysClr val="windowText" lastClr="000000"/>
              </a:solidFill>
              <a:latin typeface="Century Gothic" panose="020B0502020202020204" pitchFamily="34" charset="0"/>
            </a:rPr>
            <a:t> Excel</a:t>
          </a:r>
          <a:endParaRPr lang="pt-BR" sz="2800" b="1">
            <a:solidFill>
              <a:sysClr val="windowText" lastClr="000000"/>
            </a:solidFill>
            <a:latin typeface="Century Gothic" panose="020B0502020202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theme="9"/>
  </sheetPr>
  <dimension ref="A1:M14"/>
  <sheetViews>
    <sheetView showGridLines="0" tabSelected="1" zoomScale="85" zoomScaleNormal="85" workbookViewId="0">
      <selection activeCell="A13" sqref="A13:XFD13"/>
    </sheetView>
  </sheetViews>
  <sheetFormatPr defaultRowHeight="14.4" x14ac:dyDescent="0.3"/>
  <cols>
    <col min="1" max="1" width="7.6640625" customWidth="1"/>
    <col min="2" max="2" width="43.5546875" bestFit="1" customWidth="1"/>
    <col min="3" max="3" width="13.5546875" bestFit="1" customWidth="1"/>
  </cols>
  <sheetData>
    <row r="1" spans="1:13" ht="31.2" x14ac:dyDescent="0.3">
      <c r="A1" s="4"/>
      <c r="B1" s="4"/>
      <c r="C1" s="5"/>
      <c r="D1" s="4"/>
      <c r="E1" s="4"/>
      <c r="F1" s="4"/>
      <c r="G1" s="4"/>
      <c r="H1" s="4"/>
      <c r="I1" s="4"/>
      <c r="J1" s="4"/>
      <c r="K1" s="4"/>
      <c r="L1" s="4"/>
      <c r="M1" s="4"/>
    </row>
    <row r="2" spans="1:13" ht="42" customHeight="1" x14ac:dyDescent="0.3">
      <c r="A2" s="4"/>
      <c r="B2" s="4"/>
      <c r="C2" s="5"/>
      <c r="D2" s="4"/>
      <c r="E2" s="4"/>
      <c r="F2" s="4"/>
      <c r="G2" s="4"/>
      <c r="H2" s="4"/>
      <c r="I2" s="4"/>
      <c r="J2" s="4"/>
      <c r="K2" s="4"/>
      <c r="L2" s="4"/>
      <c r="M2" s="4"/>
    </row>
    <row r="4" spans="1:13" ht="40.200000000000003" customHeight="1" x14ac:dyDescent="0.5">
      <c r="B4" s="6" t="s">
        <v>13</v>
      </c>
      <c r="C4" s="6"/>
      <c r="D4" s="6"/>
      <c r="E4" s="6"/>
      <c r="F4" s="6"/>
      <c r="G4" s="6"/>
      <c r="H4" s="6"/>
      <c r="I4" s="6"/>
      <c r="J4" s="6"/>
      <c r="K4" s="6"/>
      <c r="L4" s="6"/>
      <c r="M4" s="6"/>
    </row>
    <row r="5" spans="1:13" ht="21.6" customHeight="1" x14ac:dyDescent="0.3">
      <c r="B5" s="3" t="s">
        <v>17</v>
      </c>
      <c r="C5" s="1" t="s">
        <v>10</v>
      </c>
      <c r="D5" s="3" t="s">
        <v>0</v>
      </c>
      <c r="E5" s="3" t="s">
        <v>1</v>
      </c>
      <c r="F5" s="3" t="s">
        <v>2</v>
      </c>
      <c r="G5" s="3" t="s">
        <v>3</v>
      </c>
      <c r="H5" s="3" t="s">
        <v>4</v>
      </c>
      <c r="I5" s="3" t="s">
        <v>5</v>
      </c>
      <c r="J5" s="3" t="s">
        <v>6</v>
      </c>
      <c r="K5" s="3" t="s">
        <v>7</v>
      </c>
      <c r="L5" s="3" t="s">
        <v>8</v>
      </c>
      <c r="M5" s="3" t="s">
        <v>9</v>
      </c>
    </row>
    <row r="6" spans="1:13" ht="24" customHeight="1" x14ac:dyDescent="0.3">
      <c r="B6" s="2" t="s">
        <v>14</v>
      </c>
      <c r="C6" s="2">
        <v>47</v>
      </c>
      <c r="D6" s="2">
        <v>3</v>
      </c>
      <c r="E6" s="2">
        <v>2</v>
      </c>
      <c r="F6" s="2">
        <v>1</v>
      </c>
      <c r="G6" s="2">
        <v>2</v>
      </c>
      <c r="H6" s="2">
        <v>4</v>
      </c>
      <c r="I6" s="2">
        <v>5</v>
      </c>
      <c r="J6" s="2">
        <v>6</v>
      </c>
      <c r="K6" s="2">
        <v>7</v>
      </c>
      <c r="L6" s="2">
        <v>8</v>
      </c>
      <c r="M6" s="2">
        <v>4</v>
      </c>
    </row>
    <row r="7" spans="1:13" ht="19.8" customHeight="1" x14ac:dyDescent="0.3">
      <c r="B7" s="2" t="s">
        <v>15</v>
      </c>
      <c r="C7" s="2">
        <v>48</v>
      </c>
      <c r="D7" s="2">
        <v>2</v>
      </c>
      <c r="E7" s="2">
        <v>3</v>
      </c>
      <c r="F7" s="2">
        <v>4</v>
      </c>
      <c r="G7" s="2">
        <v>5</v>
      </c>
      <c r="H7" s="2">
        <v>6</v>
      </c>
      <c r="I7" s="2">
        <v>7</v>
      </c>
      <c r="J7" s="2">
        <v>8</v>
      </c>
      <c r="K7" s="2">
        <v>5</v>
      </c>
      <c r="L7" s="2">
        <v>4</v>
      </c>
      <c r="M7" s="2">
        <v>3</v>
      </c>
    </row>
    <row r="8" spans="1:13" x14ac:dyDescent="0.3">
      <c r="B8" s="2" t="s">
        <v>16</v>
      </c>
      <c r="C8" s="2">
        <v>45</v>
      </c>
      <c r="D8" s="2">
        <v>5</v>
      </c>
      <c r="E8" s="2">
        <v>4</v>
      </c>
      <c r="F8" s="2">
        <v>3</v>
      </c>
      <c r="G8" s="2">
        <v>2</v>
      </c>
      <c r="H8" s="2">
        <v>5</v>
      </c>
      <c r="I8" s="2">
        <v>6</v>
      </c>
      <c r="J8" s="2">
        <v>5</v>
      </c>
      <c r="K8" s="2">
        <v>5</v>
      </c>
      <c r="L8" s="2">
        <v>5</v>
      </c>
      <c r="M8" s="2">
        <v>5</v>
      </c>
    </row>
    <row r="9" spans="1:13" hidden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hidden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hidden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hidden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x14ac:dyDescent="0.3">
      <c r="B13" s="1" t="s">
        <v>11</v>
      </c>
      <c r="C13" s="1">
        <v>140</v>
      </c>
      <c r="D13" s="1">
        <f>IF(SUM(D$6:D$12)&gt;0,
        C$13-SUM(D$6:D$12),
        NA())</f>
        <v>130</v>
      </c>
      <c r="E13" s="1">
        <f>IF(SUM(E$6:E$12)&gt;0,
        D$13-SUM(E$6:E$12),
        NA())</f>
        <v>121</v>
      </c>
      <c r="F13" s="1">
        <f>IF(SUM(F$6:F$12)&gt;0,
        E$13-SUM(F$6:F$12),
        NA())</f>
        <v>113</v>
      </c>
      <c r="G13" s="1">
        <f>IF(SUM(G$6:G$12)&gt;0,
        F$13-SUM(G$6:G$12),
        NA())</f>
        <v>104</v>
      </c>
      <c r="H13" s="1">
        <f>IF(SUM(H$6:H$12)&gt;0,
        G$13-SUM(H$6:H$12),
        NA())</f>
        <v>89</v>
      </c>
      <c r="I13" s="1">
        <f>IF(SUM(I$6:I$12)&gt;0,
        H$13-SUM(I$6:I$12),
        NA())</f>
        <v>71</v>
      </c>
      <c r="J13" s="1">
        <f>IF(SUM(J$6:J$12)&gt;0,
        I$13-SUM(J$6:J$12),
        NA())</f>
        <v>52</v>
      </c>
      <c r="K13" s="1">
        <f>IF(SUM(K$6:K$12)&gt;0,
        J$13-SUM(K$6:K$12),
        NA())</f>
        <v>35</v>
      </c>
      <c r="L13" s="1">
        <f>IF(SUM(L$6:L$12)&gt;0,
        K$13-SUM(L$6:L$12),
        NA())</f>
        <v>18</v>
      </c>
      <c r="M13" s="1">
        <f>IF(SUM(M$6:M$12)&gt;0,
        L$13-SUM(M$6:M$12),
        NA())</f>
        <v>6</v>
      </c>
    </row>
    <row r="14" spans="1:13" x14ac:dyDescent="0.3">
      <c r="B14" s="1" t="s">
        <v>12</v>
      </c>
      <c r="C14" s="1">
        <v>140</v>
      </c>
      <c r="D14" s="1">
        <f>C$14-($C$14/COUNTA($D$5:$M$5))</f>
        <v>126</v>
      </c>
      <c r="E14" s="1">
        <f>D$14-($C$14/COUNTA($D$5:$M$5))</f>
        <v>112</v>
      </c>
      <c r="F14" s="1">
        <f>E$14-($C$14/COUNTA($D$5:$M$5))</f>
        <v>98</v>
      </c>
      <c r="G14" s="1">
        <f>F$14-($C$14/COUNTA($D$5:$M$5))</f>
        <v>84</v>
      </c>
      <c r="H14" s="1">
        <f>G$14-($C$14/COUNTA($D$5:$M$5))</f>
        <v>70</v>
      </c>
      <c r="I14" s="1">
        <f>H$14-($C$14/COUNTA($D$5:$M$5))</f>
        <v>56</v>
      </c>
      <c r="J14" s="1">
        <f>I$14-($C$14/COUNTA($D$5:$M$5))</f>
        <v>42</v>
      </c>
      <c r="K14" s="1">
        <f>J$14-($C$14/COUNTA($D$5:$M$5))</f>
        <v>28</v>
      </c>
      <c r="L14" s="1">
        <f>K$14-($C$14/COUNTA($D$5:$M$5))</f>
        <v>14</v>
      </c>
      <c r="M14" s="1">
        <f>L$14-($C$14/COUNTA($D$5:$M$5))</f>
        <v>0</v>
      </c>
    </row>
  </sheetData>
  <mergeCells count="1">
    <mergeCell ref="B4:M4"/>
  </mergeCells>
  <phoneticPr fontId="3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D0ECD-B588-46E7-A63B-1524FF0A7784}">
  <sheetPr>
    <tabColor rgb="FFFFC000"/>
  </sheetPr>
  <dimension ref="A1:M16"/>
  <sheetViews>
    <sheetView workbookViewId="0">
      <selection activeCell="B6" sqref="B6"/>
    </sheetView>
  </sheetViews>
  <sheetFormatPr defaultRowHeight="14.4" x14ac:dyDescent="0.3"/>
  <cols>
    <col min="1" max="1" width="7.6640625" customWidth="1"/>
    <col min="2" max="2" width="40.33203125" bestFit="1" customWidth="1"/>
    <col min="3" max="3" width="13.5546875" bestFit="1" customWidth="1"/>
  </cols>
  <sheetData>
    <row r="1" spans="1:13" ht="31.2" x14ac:dyDescent="0.3">
      <c r="A1" s="7"/>
      <c r="B1" s="7"/>
      <c r="C1" s="8"/>
      <c r="D1" s="7"/>
      <c r="E1" s="7"/>
      <c r="F1" s="7"/>
      <c r="G1" s="7"/>
      <c r="H1" s="7"/>
      <c r="I1" s="7"/>
      <c r="J1" s="7"/>
      <c r="K1" s="7"/>
      <c r="L1" s="7"/>
      <c r="M1" s="7"/>
    </row>
    <row r="2" spans="1:13" ht="31.2" x14ac:dyDescent="0.3">
      <c r="A2" s="7"/>
      <c r="B2" s="7"/>
      <c r="C2" s="8"/>
      <c r="D2" s="7"/>
      <c r="E2" s="7"/>
      <c r="F2" s="7"/>
      <c r="G2" s="7"/>
      <c r="H2" s="7"/>
      <c r="I2" s="7"/>
      <c r="J2" s="7"/>
      <c r="K2" s="7"/>
      <c r="L2" s="7"/>
      <c r="M2" s="7"/>
    </row>
    <row r="4" spans="1:13" ht="25.8" x14ac:dyDescent="0.5">
      <c r="B4" s="9" t="s">
        <v>18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</row>
    <row r="5" spans="1:13" x14ac:dyDescent="0.3">
      <c r="B5" s="3" t="s">
        <v>17</v>
      </c>
      <c r="C5" s="1" t="s">
        <v>10</v>
      </c>
      <c r="D5" s="3" t="s">
        <v>0</v>
      </c>
      <c r="E5" s="3" t="s">
        <v>1</v>
      </c>
      <c r="F5" s="3" t="s">
        <v>2</v>
      </c>
      <c r="G5" s="3" t="s">
        <v>3</v>
      </c>
      <c r="H5" s="3" t="s">
        <v>4</v>
      </c>
      <c r="I5" s="3" t="s">
        <v>5</v>
      </c>
      <c r="J5" s="3" t="s">
        <v>6</v>
      </c>
      <c r="K5" s="3" t="s">
        <v>7</v>
      </c>
      <c r="L5" s="3" t="s">
        <v>8</v>
      </c>
      <c r="M5" s="3" t="s">
        <v>9</v>
      </c>
    </row>
    <row r="6" spans="1:13" x14ac:dyDescent="0.3">
      <c r="B6" s="2" t="s">
        <v>19</v>
      </c>
      <c r="C6" s="2">
        <v>50</v>
      </c>
      <c r="D6" s="2">
        <v>3</v>
      </c>
      <c r="E6" s="2">
        <v>2</v>
      </c>
      <c r="F6" s="2">
        <v>1</v>
      </c>
      <c r="G6" s="2">
        <v>2</v>
      </c>
      <c r="H6" s="2">
        <v>4</v>
      </c>
      <c r="I6" s="2">
        <v>5</v>
      </c>
      <c r="J6" s="2">
        <v>6</v>
      </c>
      <c r="K6" s="2">
        <v>7</v>
      </c>
      <c r="L6" s="2">
        <v>8</v>
      </c>
      <c r="M6" s="2">
        <v>4</v>
      </c>
    </row>
    <row r="7" spans="1:13" x14ac:dyDescent="0.3">
      <c r="B7" s="2" t="s">
        <v>20</v>
      </c>
      <c r="C7" s="2">
        <v>50</v>
      </c>
      <c r="D7" s="2">
        <v>2</v>
      </c>
      <c r="E7" s="2">
        <v>3</v>
      </c>
      <c r="F7" s="2">
        <v>4</v>
      </c>
      <c r="G7" s="2">
        <v>5</v>
      </c>
      <c r="H7" s="2">
        <v>6</v>
      </c>
      <c r="I7" s="2">
        <v>8</v>
      </c>
      <c r="J7" s="2">
        <v>8</v>
      </c>
      <c r="K7" s="2">
        <v>8</v>
      </c>
      <c r="L7" s="2">
        <v>8</v>
      </c>
      <c r="M7" s="2">
        <v>10</v>
      </c>
    </row>
    <row r="8" spans="1:13" hidden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hidden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hidden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hidden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hidden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hidden="1" x14ac:dyDescent="0.3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hidden="1" x14ac:dyDescent="0.3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1:13" x14ac:dyDescent="0.3">
      <c r="B15" s="1" t="s">
        <v>11</v>
      </c>
      <c r="C15" s="1">
        <v>100</v>
      </c>
      <c r="D15" s="1">
        <f>IF(SUM(D$6:D$14)&gt;0,
        C$15-SUM(D$6:D$14),
        NA())</f>
        <v>95</v>
      </c>
      <c r="E15" s="1">
        <f>IF(SUM(E$6:E$14)&gt;0,
        D$15-SUM(E$6:E$14),
        NA())</f>
        <v>90</v>
      </c>
      <c r="F15" s="1">
        <f>IF(SUM(F$6:F$14)&gt;0,
        E$15-SUM(F$6:F$14),
        NA())</f>
        <v>85</v>
      </c>
      <c r="G15" s="1">
        <f>IF(SUM(G$6:G$14)&gt;0,
        F$15-SUM(G$6:G$14),
        NA())</f>
        <v>78</v>
      </c>
      <c r="H15" s="1">
        <f>IF(SUM(H$6:H$14)&gt;0,
        G$15-SUM(H$6:H$14),
        NA())</f>
        <v>68</v>
      </c>
      <c r="I15" s="1">
        <f>IF(SUM(I$6:I$14)&gt;0,
        H$15-SUM(I$6:I$14),
        NA())</f>
        <v>55</v>
      </c>
      <c r="J15" s="1">
        <f>IF(SUM(J$6:J$14)&gt;0,
        I$15-SUM(J$6:J$14),
        NA())</f>
        <v>41</v>
      </c>
      <c r="K15" s="1">
        <f>IF(SUM(K$6:K$14)&gt;0,
        J$15-SUM(K$6:K$14),
        NA())</f>
        <v>26</v>
      </c>
      <c r="L15" s="1">
        <f>IF(SUM(L$6:L$14)&gt;0,
        K$15-SUM(L$6:L$14),
        NA())</f>
        <v>10</v>
      </c>
      <c r="M15" s="1">
        <f>IF(SUM(M$6:M$14)&gt;0,
        L$15-SUM(M$6:M$14),
        NA())</f>
        <v>-4</v>
      </c>
    </row>
    <row r="16" spans="1:13" x14ac:dyDescent="0.3">
      <c r="B16" s="1" t="s">
        <v>12</v>
      </c>
      <c r="C16" s="1">
        <v>100</v>
      </c>
      <c r="D16" s="1">
        <f>C$16-($C$16/COUNTA($D$5:$M$5))</f>
        <v>90</v>
      </c>
      <c r="E16" s="1">
        <f>D$16-($C$16/COUNTA($D$5:$M$5))</f>
        <v>80</v>
      </c>
      <c r="F16" s="1">
        <f>E$16-($C$16/COUNTA($D$5:$M$5))</f>
        <v>70</v>
      </c>
      <c r="G16" s="1">
        <f>F$16-($C$16/COUNTA($D$5:$M$5))</f>
        <v>60</v>
      </c>
      <c r="H16" s="1">
        <f>G$16-($C$16/COUNTA($D$5:$M$5))</f>
        <v>50</v>
      </c>
      <c r="I16" s="1">
        <f>H$16-($C$16/COUNTA($D$5:$M$5))</f>
        <v>40</v>
      </c>
      <c r="J16" s="1">
        <f>I$16-($C$16/COUNTA($D$5:$M$5))</f>
        <v>30</v>
      </c>
      <c r="K16" s="1">
        <f>J$16-($C$16/COUNTA($D$5:$M$5))</f>
        <v>20</v>
      </c>
      <c r="L16" s="1">
        <f>K$16-($C$16/COUNTA($D$5:$M$5))</f>
        <v>10</v>
      </c>
      <c r="M16" s="1">
        <f>L$16-($C$16/COUNTA($D$5:$M$5))</f>
        <v>0</v>
      </c>
    </row>
  </sheetData>
  <mergeCells count="1">
    <mergeCell ref="B4:M4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5864BE-791B-40A6-8B6D-330615851654}">
  <sheetPr>
    <tabColor rgb="FF00B0F0"/>
  </sheetPr>
  <dimension ref="A1:M15"/>
  <sheetViews>
    <sheetView workbookViewId="0">
      <selection activeCell="N20" sqref="N20"/>
    </sheetView>
  </sheetViews>
  <sheetFormatPr defaultRowHeight="14.4" x14ac:dyDescent="0.3"/>
  <cols>
    <col min="1" max="1" width="7.6640625" customWidth="1"/>
    <col min="2" max="2" width="40.33203125" bestFit="1" customWidth="1"/>
    <col min="3" max="3" width="13.5546875" bestFit="1" customWidth="1"/>
  </cols>
  <sheetData>
    <row r="1" spans="1:13" ht="31.2" x14ac:dyDescent="0.3">
      <c r="A1" s="10"/>
      <c r="B1" s="10"/>
      <c r="C1" s="11"/>
      <c r="D1" s="10"/>
      <c r="E1" s="10"/>
      <c r="F1" s="10"/>
      <c r="G1" s="10"/>
      <c r="H1" s="10"/>
      <c r="I1" s="10"/>
      <c r="J1" s="10"/>
      <c r="K1" s="10"/>
      <c r="L1" s="10"/>
      <c r="M1" s="10"/>
    </row>
    <row r="2" spans="1:13" ht="31.2" x14ac:dyDescent="0.3">
      <c r="A2" s="10"/>
      <c r="B2" s="10"/>
      <c r="C2" s="11"/>
      <c r="D2" s="10"/>
      <c r="E2" s="10"/>
      <c r="F2" s="10"/>
      <c r="G2" s="10"/>
      <c r="H2" s="10"/>
      <c r="I2" s="10"/>
      <c r="J2" s="10"/>
      <c r="K2" s="10"/>
      <c r="L2" s="10"/>
      <c r="M2" s="10"/>
    </row>
    <row r="4" spans="1:13" ht="25.8" x14ac:dyDescent="0.5">
      <c r="B4" s="12" t="s">
        <v>21</v>
      </c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</row>
    <row r="5" spans="1:13" x14ac:dyDescent="0.3">
      <c r="B5" s="3" t="s">
        <v>17</v>
      </c>
      <c r="C5" s="1" t="s">
        <v>10</v>
      </c>
      <c r="D5" s="3" t="s">
        <v>0</v>
      </c>
      <c r="E5" s="3" t="s">
        <v>1</v>
      </c>
      <c r="F5" s="3" t="s">
        <v>2</v>
      </c>
      <c r="G5" s="3" t="s">
        <v>3</v>
      </c>
      <c r="H5" s="3" t="s">
        <v>4</v>
      </c>
      <c r="I5" s="3" t="s">
        <v>5</v>
      </c>
      <c r="J5" s="3" t="s">
        <v>6</v>
      </c>
      <c r="K5" s="3" t="s">
        <v>7</v>
      </c>
      <c r="L5" s="3" t="s">
        <v>8</v>
      </c>
      <c r="M5" s="3" t="s">
        <v>9</v>
      </c>
    </row>
    <row r="6" spans="1:13" x14ac:dyDescent="0.3">
      <c r="B6" s="2" t="s">
        <v>26</v>
      </c>
      <c r="C6" s="2">
        <v>80</v>
      </c>
      <c r="D6" s="2">
        <v>8</v>
      </c>
      <c r="E6" s="2">
        <v>6</v>
      </c>
      <c r="F6" s="2">
        <v>8</v>
      </c>
      <c r="G6" s="2">
        <v>8</v>
      </c>
      <c r="H6" s="2">
        <v>8</v>
      </c>
      <c r="I6" s="2">
        <v>7</v>
      </c>
      <c r="J6" s="2">
        <v>7</v>
      </c>
      <c r="K6" s="2">
        <v>6</v>
      </c>
      <c r="L6" s="2">
        <v>7</v>
      </c>
      <c r="M6" s="2">
        <v>8</v>
      </c>
    </row>
    <row r="7" spans="1:13" hidden="1" x14ac:dyDescent="0.3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1:13" hidden="1" x14ac:dyDescent="0.3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1:13" hidden="1" x14ac:dyDescent="0.3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1:13" hidden="1" x14ac:dyDescent="0.3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1:13" hidden="1" x14ac:dyDescent="0.3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1:13" hidden="1" x14ac:dyDescent="0.3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1:13" hidden="1" x14ac:dyDescent="0.3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1:13" x14ac:dyDescent="0.3">
      <c r="B14" s="1" t="s">
        <v>11</v>
      </c>
      <c r="C14" s="1">
        <v>80</v>
      </c>
      <c r="D14" s="1">
        <f>IF(SUM(D$6:D$13)&gt;0,
        C$14-SUM(D$6:D$13),
        NA())</f>
        <v>72</v>
      </c>
      <c r="E14" s="1">
        <f>IF(SUM(E$6:E$13)&gt;0,
        D$14-SUM(E$6:E$13),
        NA())</f>
        <v>66</v>
      </c>
      <c r="F14" s="1">
        <f>IF(SUM(F$6:F$13)&gt;0,
        E$14-SUM(F$6:F$13),
        NA())</f>
        <v>58</v>
      </c>
      <c r="G14" s="1">
        <f>IF(SUM(G$6:G$13)&gt;0,
        F$14-SUM(G$6:G$13),
        NA())</f>
        <v>50</v>
      </c>
      <c r="H14" s="1">
        <f>IF(SUM(H$6:H$13)&gt;0,
        G$14-SUM(H$6:H$13),
        NA())</f>
        <v>42</v>
      </c>
      <c r="I14" s="1">
        <f>IF(SUM(I$6:I$13)&gt;0,
        H$14-SUM(I$6:I$13),
        NA())</f>
        <v>35</v>
      </c>
      <c r="J14" s="1">
        <f>IF(SUM(J$6:J$13)&gt;0,
        I$14-SUM(J$6:J$13),
        NA())</f>
        <v>28</v>
      </c>
      <c r="K14" s="1">
        <f>IF(SUM(K$6:K$13)&gt;0,
        J$14-SUM(K$6:K$13),
        NA())</f>
        <v>22</v>
      </c>
      <c r="L14" s="1">
        <f>IF(SUM(L$6:L$13)&gt;0,
        K$14-SUM(L$6:L$13),
        NA())</f>
        <v>15</v>
      </c>
      <c r="M14" s="1">
        <f>IF(SUM(M$6:M$13)&gt;0,
        L$14-SUM(M$6:M$13),
        NA())</f>
        <v>7</v>
      </c>
    </row>
    <row r="15" spans="1:13" x14ac:dyDescent="0.3">
      <c r="B15" s="1" t="s">
        <v>12</v>
      </c>
      <c r="C15" s="1">
        <v>80</v>
      </c>
      <c r="D15" s="1">
        <f>C$15-($C$15/COUNTA($D$5:$M$5))</f>
        <v>72</v>
      </c>
      <c r="E15" s="1">
        <f>D$15-($C$15/COUNTA($D$5:$M$5))</f>
        <v>64</v>
      </c>
      <c r="F15" s="1">
        <f>E$15-($C$15/COUNTA($D$5:$M$5))</f>
        <v>56</v>
      </c>
      <c r="G15" s="1">
        <f>F$15-($C$15/COUNTA($D$5:$M$5))</f>
        <v>48</v>
      </c>
      <c r="H15" s="1">
        <f>G$15-($C$15/COUNTA($D$5:$M$5))</f>
        <v>40</v>
      </c>
      <c r="I15" s="1">
        <f>H$15-($C$15/COUNTA($D$5:$M$5))</f>
        <v>32</v>
      </c>
      <c r="J15" s="1">
        <f>I$15-($C$15/COUNTA($D$5:$M$5))</f>
        <v>24</v>
      </c>
      <c r="K15" s="1">
        <f>J$15-($C$15/COUNTA($D$5:$M$5))</f>
        <v>16</v>
      </c>
      <c r="L15" s="1">
        <f>K$15-($C$15/COUNTA($D$5:$M$5))</f>
        <v>8</v>
      </c>
      <c r="M15" s="1">
        <f>L$15-($C$15/COUNTA($D$5:$M$5))</f>
        <v>0</v>
      </c>
    </row>
  </sheetData>
  <mergeCells count="1">
    <mergeCell ref="B4:M4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SPRINT 1</vt:lpstr>
      <vt:lpstr>SPRINT 2</vt:lpstr>
      <vt:lpstr>SPRINT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Teixeira de Paula, Julia (LatAm)</cp:lastModifiedBy>
  <cp:lastPrinted>2023-06-30T13:24:20Z</cp:lastPrinted>
  <dcterms:created xsi:type="dcterms:W3CDTF">2016-06-19T15:11:06Z</dcterms:created>
  <dcterms:modified xsi:type="dcterms:W3CDTF">2024-06-10T01:13:16Z</dcterms:modified>
</cp:coreProperties>
</file>